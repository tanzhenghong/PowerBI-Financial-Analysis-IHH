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nzh\Downloads\"/>
    </mc:Choice>
  </mc:AlternateContent>
  <xr:revisionPtr revIDLastSave="0" documentId="13_ncr:1_{F20987FE-49FB-462A-B113-94628C3506CF}" xr6:coauthVersionLast="47" xr6:coauthVersionMax="47" xr10:uidLastSave="{00000000-0000-0000-0000-000000000000}"/>
  <bookViews>
    <workbookView xWindow="-108" yWindow="-108" windowWidth="23256" windowHeight="12456" tabRatio="569" xr2:uid="{BA2563FE-736D-46E6-8D76-0403A23F2A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4" i="1" l="1"/>
  <c r="O25" i="1"/>
  <c r="O26" i="1"/>
  <c r="O27" i="1"/>
  <c r="O28" i="1"/>
  <c r="O29" i="1"/>
  <c r="O24" i="1"/>
  <c r="N25" i="1"/>
  <c r="N26" i="1"/>
  <c r="N27" i="1"/>
  <c r="N28" i="1"/>
  <c r="N29" i="1"/>
  <c r="N24" i="1"/>
  <c r="M25" i="1"/>
  <c r="M26" i="1"/>
  <c r="M27" i="1"/>
  <c r="M28" i="1"/>
  <c r="M29" i="1"/>
  <c r="M24" i="1"/>
  <c r="L25" i="1"/>
  <c r="L26" i="1"/>
  <c r="L27" i="1"/>
  <c r="L28" i="1"/>
  <c r="L29" i="1"/>
  <c r="L24" i="1"/>
  <c r="K25" i="1"/>
  <c r="K26" i="1"/>
  <c r="K27" i="1"/>
  <c r="K28" i="1"/>
  <c r="K29" i="1"/>
  <c r="K24" i="1"/>
  <c r="J25" i="1"/>
  <c r="J26" i="1"/>
  <c r="J27" i="1"/>
  <c r="J28" i="1"/>
  <c r="J29" i="1"/>
  <c r="J24" i="1"/>
  <c r="I25" i="1"/>
  <c r="I26" i="1"/>
  <c r="I27" i="1"/>
  <c r="I28" i="1"/>
  <c r="I29" i="1"/>
  <c r="I24" i="1"/>
  <c r="H25" i="1"/>
  <c r="H26" i="1"/>
  <c r="H27" i="1"/>
  <c r="H28" i="1"/>
  <c r="H29" i="1"/>
  <c r="H24" i="1"/>
  <c r="G25" i="1"/>
  <c r="G26" i="1"/>
  <c r="G27" i="1"/>
  <c r="G28" i="1"/>
  <c r="G29" i="1"/>
  <c r="G24" i="1"/>
  <c r="F25" i="1"/>
  <c r="F26" i="1"/>
  <c r="F27" i="1"/>
  <c r="F28" i="1"/>
  <c r="F29" i="1"/>
  <c r="F24" i="1"/>
  <c r="E25" i="1"/>
  <c r="E26" i="1"/>
  <c r="E27" i="1"/>
  <c r="E28" i="1"/>
  <c r="E29" i="1"/>
  <c r="E24" i="1"/>
  <c r="D25" i="1"/>
  <c r="D26" i="1"/>
  <c r="D27" i="1"/>
  <c r="D28" i="1"/>
  <c r="D29" i="1"/>
  <c r="D24" i="1"/>
  <c r="C25" i="1"/>
  <c r="C26" i="1"/>
  <c r="C27" i="1"/>
  <c r="C28" i="1"/>
  <c r="C29" i="1"/>
  <c r="C24" i="1"/>
  <c r="B25" i="1"/>
  <c r="B26" i="1"/>
  <c r="B27" i="1"/>
  <c r="B28" i="1"/>
  <c r="B29" i="1"/>
  <c r="B24" i="1"/>
  <c r="T25" i="1"/>
  <c r="T26" i="1"/>
  <c r="T27" i="1"/>
  <c r="T28" i="1"/>
  <c r="T29" i="1"/>
  <c r="T24" i="1"/>
  <c r="S25" i="1"/>
  <c r="S26" i="1"/>
  <c r="S27" i="1"/>
  <c r="S28" i="1"/>
  <c r="S29" i="1"/>
  <c r="S24" i="1"/>
  <c r="X17" i="1"/>
  <c r="T15" i="1"/>
  <c r="T16" i="1"/>
  <c r="T17" i="1"/>
  <c r="T18" i="1"/>
  <c r="T19" i="1"/>
  <c r="AB15" i="1"/>
  <c r="AB16" i="1"/>
  <c r="AB17" i="1"/>
  <c r="AB18" i="1"/>
  <c r="AB19" i="1"/>
  <c r="AB14" i="1"/>
  <c r="Z15" i="1"/>
  <c r="Z16" i="1"/>
  <c r="Z17" i="1"/>
  <c r="Z18" i="1"/>
  <c r="Z19" i="1"/>
  <c r="Z14" i="1"/>
  <c r="X15" i="1"/>
  <c r="X16" i="1"/>
  <c r="X18" i="1"/>
  <c r="X19" i="1"/>
  <c r="X14" i="1"/>
  <c r="V15" i="1"/>
  <c r="V16" i="1"/>
  <c r="V17" i="1"/>
  <c r="V18" i="1"/>
  <c r="V19" i="1"/>
  <c r="V14" i="1"/>
  <c r="R15" i="1"/>
  <c r="R16" i="1"/>
  <c r="R17" i="1"/>
  <c r="R18" i="1"/>
  <c r="R19" i="1"/>
  <c r="R14" i="1"/>
  <c r="D14" i="1"/>
  <c r="D15" i="1"/>
  <c r="D16" i="1"/>
  <c r="D17" i="1"/>
  <c r="D18" i="1"/>
  <c r="D19" i="1"/>
  <c r="P15" i="1"/>
  <c r="P16" i="1"/>
  <c r="P17" i="1"/>
  <c r="P18" i="1"/>
  <c r="P19" i="1"/>
  <c r="P14" i="1"/>
  <c r="N15" i="1"/>
  <c r="N16" i="1"/>
  <c r="N17" i="1"/>
  <c r="N18" i="1"/>
  <c r="N19" i="1"/>
  <c r="N14" i="1"/>
  <c r="L15" i="1"/>
  <c r="L16" i="1"/>
  <c r="L17" i="1"/>
  <c r="L18" i="1"/>
  <c r="L19" i="1"/>
  <c r="L14" i="1"/>
  <c r="J15" i="1"/>
  <c r="J16" i="1"/>
  <c r="J17" i="1"/>
  <c r="J18" i="1"/>
  <c r="J19" i="1"/>
  <c r="J14" i="1"/>
  <c r="H15" i="1"/>
  <c r="H16" i="1"/>
  <c r="H17" i="1"/>
  <c r="H18" i="1"/>
  <c r="H19" i="1"/>
  <c r="H14" i="1"/>
  <c r="F15" i="1"/>
  <c r="F16" i="1"/>
  <c r="F17" i="1"/>
  <c r="F18" i="1"/>
  <c r="F19" i="1"/>
  <c r="F14" i="1"/>
  <c r="B19" i="1"/>
  <c r="B15" i="1"/>
  <c r="B16" i="1"/>
  <c r="B17" i="1"/>
  <c r="B18" i="1"/>
  <c r="B14" i="1"/>
</calcChain>
</file>

<file path=xl/sharedStrings.xml><?xml version="1.0" encoding="utf-8"?>
<sst xmlns="http://schemas.openxmlformats.org/spreadsheetml/2006/main" count="85" uniqueCount="40">
  <si>
    <t>IHH Berhad Financial Metircs</t>
  </si>
  <si>
    <t>Year</t>
  </si>
  <si>
    <t xml:space="preserve"> </t>
  </si>
  <si>
    <t>IHH Total Asset (RM)</t>
  </si>
  <si>
    <t>IHH Current Asset (RM)</t>
  </si>
  <si>
    <t xml:space="preserve">Year </t>
  </si>
  <si>
    <t>IHH Total Liabilities (RM)</t>
  </si>
  <si>
    <t>IHH Total Equity (RM)</t>
  </si>
  <si>
    <t>IHH Total Current Liabilities (RM)</t>
  </si>
  <si>
    <t>IHH Total Net Profit (RM)</t>
  </si>
  <si>
    <t>IHH Operating Cash Flow (RM)</t>
  </si>
  <si>
    <t>IHH Purchase of property, plant and equipment (RM)</t>
  </si>
  <si>
    <t>IHH Financing Cash Flow (RM)</t>
  </si>
  <si>
    <t>IHH Investing Cash Flow (RM)</t>
  </si>
  <si>
    <t>IHH Cash and cash equivalents (RM)</t>
  </si>
  <si>
    <t>IHH Revenue (RM)</t>
  </si>
  <si>
    <t>IHH Financial Metrics</t>
  </si>
  <si>
    <t>IHH Inventory (RM)</t>
  </si>
  <si>
    <t xml:space="preserve">IHH Net Porfit Margin </t>
  </si>
  <si>
    <t>IHH Return on Asset (ROA)</t>
  </si>
  <si>
    <t>IHH Return on Equity (ROE)</t>
  </si>
  <si>
    <t>Profitability Ratio</t>
  </si>
  <si>
    <t>IHH Current Ratio</t>
  </si>
  <si>
    <t>IHH Quick Ratio</t>
  </si>
  <si>
    <t>IHH Operating Cash Flow Ratio</t>
  </si>
  <si>
    <t>Liquidity Ratios</t>
  </si>
  <si>
    <t>IHH Debt-to-Equity Ratio</t>
  </si>
  <si>
    <t xml:space="preserve">IHH Debt-to-Assets Ratio </t>
  </si>
  <si>
    <t>Solvency/Leverage Ratios</t>
  </si>
  <si>
    <t xml:space="preserve">IHH Asset Turnover </t>
  </si>
  <si>
    <t>Efficiency Ratio</t>
  </si>
  <si>
    <t>IHH Capital Expenditure Ratio</t>
  </si>
  <si>
    <t xml:space="preserve">IHH Operating Cash Flow Margin </t>
  </si>
  <si>
    <t xml:space="preserve">IHH Cash Flow to Net Income </t>
  </si>
  <si>
    <t>IHH CashFlow Coverage Ratios</t>
  </si>
  <si>
    <t>CashFlow Ratios</t>
  </si>
  <si>
    <t>IHH Final Datasets</t>
  </si>
  <si>
    <t>IHH Free CashFlow (RM)</t>
  </si>
  <si>
    <t>IHH Net Working Capital (RM)</t>
  </si>
  <si>
    <t>IHH Net Cashflow (RM)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</si>
</sst>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3" fontId="0" fillId="0" borderId="0" xfId="0" applyNumberFormat="1"/>
    <xf numFmtId="0" fontId="0" fillId="0" borderId="1" xfId="0" applyBorder="1" applyAlignment="1">
      <alignment horizontal="center"/>
    </xf>
    <xf numFmtId="0" fontId="0" fillId="0" borderId="1" xfId="0" applyBorder="1"/>
    <xf numFmtId="3" fontId="0" fillId="0" borderId="1" xfId="0" applyNumberFormat="1" applyBorder="1"/>
    <xf numFmtId="2" fontId="0" fillId="0" borderId="1" xfId="0" applyNumberFormat="1" applyBorder="1"/>
    <xf numFmtId="9" fontId="0" fillId="0" borderId="1" xfId="1" applyFont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1DC3A-4A0A-4231-B1E2-FA9D96E2B68A}">
  <dimension ref="A1:AG29"/>
  <sheetViews>
    <sheetView tabSelected="1" topLeftCell="L13" workbookViewId="0">
      <selection activeCell="V14" sqref="V14"/>
    </sheetView>
  </sheetViews>
  <sheetFormatPr defaultRowHeight="14.4" x14ac:dyDescent="0.3"/>
  <cols>
    <col min="1" max="1" width="9.21875" customWidth="1"/>
    <col min="2" max="2" width="18.88671875" customWidth="1"/>
    <col min="3" max="3" width="23.5546875" customWidth="1"/>
    <col min="4" max="5" width="23.21875" customWidth="1"/>
    <col min="6" max="6" width="24.77734375" customWidth="1"/>
    <col min="7" max="7" width="26.21875" customWidth="1"/>
    <col min="8" max="8" width="22" customWidth="1"/>
    <col min="9" max="9" width="21.88671875" customWidth="1"/>
    <col min="10" max="10" width="18.6640625" customWidth="1"/>
    <col min="11" max="11" width="23.77734375" customWidth="1"/>
    <col min="12" max="13" width="26.21875" customWidth="1"/>
    <col min="14" max="15" width="28.5546875" customWidth="1"/>
    <col min="16" max="16" width="30.21875" customWidth="1"/>
    <col min="17" max="17" width="24" customWidth="1"/>
    <col min="18" max="18" width="25.44140625" customWidth="1"/>
    <col min="19" max="19" width="24.21875" customWidth="1"/>
    <col min="20" max="20" width="26.44140625" customWidth="1"/>
    <col min="21" max="21" width="31.109375" customWidth="1"/>
    <col min="22" max="22" width="28.5546875" customWidth="1"/>
    <col min="23" max="25" width="24.77734375" customWidth="1"/>
    <col min="26" max="26" width="22.6640625" customWidth="1"/>
    <col min="27" max="27" width="41.88671875" customWidth="1"/>
    <col min="28" max="28" width="25.77734375" customWidth="1"/>
    <col min="29" max="29" width="30.5546875" customWidth="1"/>
    <col min="31" max="31" width="16.6640625" customWidth="1"/>
    <col min="33" max="33" width="16.6640625" customWidth="1"/>
  </cols>
  <sheetData>
    <row r="1" spans="1:33" x14ac:dyDescent="0.3">
      <c r="A1" t="s">
        <v>0</v>
      </c>
    </row>
    <row r="3" spans="1:33" x14ac:dyDescent="0.3">
      <c r="A3" t="s">
        <v>1</v>
      </c>
      <c r="B3" t="s">
        <v>3</v>
      </c>
      <c r="D3" t="s">
        <v>1</v>
      </c>
      <c r="F3" t="s">
        <v>4</v>
      </c>
      <c r="H3" t="s">
        <v>5</v>
      </c>
      <c r="J3" t="s">
        <v>6</v>
      </c>
      <c r="L3" t="s">
        <v>1</v>
      </c>
      <c r="N3" t="s">
        <v>8</v>
      </c>
      <c r="P3" t="s">
        <v>1</v>
      </c>
      <c r="Q3" t="s">
        <v>7</v>
      </c>
      <c r="R3" t="s">
        <v>1</v>
      </c>
      <c r="S3" t="s">
        <v>9</v>
      </c>
      <c r="T3" t="s">
        <v>1</v>
      </c>
      <c r="U3" t="s">
        <v>10</v>
      </c>
      <c r="V3" t="s">
        <v>1</v>
      </c>
      <c r="W3" t="s">
        <v>13</v>
      </c>
      <c r="X3" t="s">
        <v>1</v>
      </c>
      <c r="Y3" t="s">
        <v>12</v>
      </c>
      <c r="Z3" t="s">
        <v>1</v>
      </c>
      <c r="AA3" t="s">
        <v>11</v>
      </c>
      <c r="AB3" t="s">
        <v>1</v>
      </c>
      <c r="AC3" t="s">
        <v>14</v>
      </c>
      <c r="AD3" t="s">
        <v>1</v>
      </c>
      <c r="AE3" t="s">
        <v>15</v>
      </c>
      <c r="AF3" t="s">
        <v>1</v>
      </c>
      <c r="AG3" t="s">
        <v>17</v>
      </c>
    </row>
    <row r="4" spans="1:33" x14ac:dyDescent="0.3">
      <c r="A4">
        <v>2019</v>
      </c>
      <c r="B4" s="1">
        <v>45053289000</v>
      </c>
      <c r="C4" s="1"/>
      <c r="D4">
        <v>2019</v>
      </c>
      <c r="F4" s="1">
        <v>7626329000</v>
      </c>
      <c r="G4" s="1"/>
      <c r="H4">
        <v>2019</v>
      </c>
      <c r="J4" s="1">
        <v>16959320000</v>
      </c>
      <c r="K4" s="1"/>
      <c r="L4">
        <v>2019</v>
      </c>
      <c r="N4" s="1">
        <v>5349227000</v>
      </c>
      <c r="O4" s="1"/>
      <c r="P4">
        <v>2019</v>
      </c>
      <c r="Q4" s="1">
        <v>28093969000</v>
      </c>
      <c r="R4">
        <v>2019</v>
      </c>
      <c r="S4" s="1">
        <v>1042724000</v>
      </c>
      <c r="T4">
        <v>2019</v>
      </c>
      <c r="U4" s="1">
        <v>2447491000</v>
      </c>
      <c r="V4">
        <v>2019</v>
      </c>
      <c r="W4" s="1">
        <v>2594182000</v>
      </c>
      <c r="X4">
        <v>2019</v>
      </c>
      <c r="Y4" s="1">
        <v>2915135000</v>
      </c>
      <c r="Z4">
        <v>2019</v>
      </c>
      <c r="AA4" s="1">
        <v>1055564000</v>
      </c>
      <c r="AB4">
        <v>2019</v>
      </c>
      <c r="AC4" s="1">
        <v>2641463000</v>
      </c>
      <c r="AD4">
        <v>2019</v>
      </c>
      <c r="AE4" s="1">
        <v>14912485000</v>
      </c>
      <c r="AF4">
        <v>2019</v>
      </c>
      <c r="AG4" s="1">
        <v>350321000</v>
      </c>
    </row>
    <row r="5" spans="1:33" x14ac:dyDescent="0.3">
      <c r="A5">
        <v>2020</v>
      </c>
      <c r="B5" s="1">
        <v>44534260000</v>
      </c>
      <c r="C5" s="1"/>
      <c r="D5">
        <v>2020</v>
      </c>
      <c r="F5" s="1">
        <v>7345939000</v>
      </c>
      <c r="G5" s="1"/>
      <c r="H5">
        <v>2020</v>
      </c>
      <c r="J5" s="1">
        <v>17498891000</v>
      </c>
      <c r="K5" s="1"/>
      <c r="L5">
        <v>2020</v>
      </c>
      <c r="N5" s="1">
        <v>5615067000</v>
      </c>
      <c r="O5" s="1"/>
      <c r="P5">
        <v>2020</v>
      </c>
      <c r="Q5" s="1">
        <v>27035369000</v>
      </c>
      <c r="R5">
        <v>2020</v>
      </c>
      <c r="S5" s="1">
        <v>567507000</v>
      </c>
      <c r="T5">
        <v>2020</v>
      </c>
      <c r="U5" s="1">
        <v>2444799000</v>
      </c>
      <c r="V5">
        <v>2020</v>
      </c>
      <c r="W5" s="1">
        <v>2077826000</v>
      </c>
      <c r="X5">
        <v>2020</v>
      </c>
      <c r="Y5" s="1">
        <v>860058000</v>
      </c>
      <c r="Z5">
        <v>2020</v>
      </c>
      <c r="AA5" s="1">
        <v>874241000</v>
      </c>
      <c r="AB5">
        <v>2020</v>
      </c>
      <c r="AC5" s="1">
        <v>2264047000</v>
      </c>
      <c r="AD5">
        <v>2020</v>
      </c>
      <c r="AE5" s="1">
        <v>13404604000</v>
      </c>
      <c r="AF5">
        <v>2020</v>
      </c>
      <c r="AG5" s="1">
        <v>420153000</v>
      </c>
    </row>
    <row r="6" spans="1:33" x14ac:dyDescent="0.3">
      <c r="A6">
        <v>2021</v>
      </c>
      <c r="B6" s="1">
        <v>45510269000</v>
      </c>
      <c r="C6" s="1"/>
      <c r="D6">
        <v>2021</v>
      </c>
      <c r="F6" s="1">
        <v>8533053000</v>
      </c>
      <c r="G6" s="1"/>
      <c r="H6">
        <v>2021</v>
      </c>
      <c r="J6" s="1">
        <v>18233438000</v>
      </c>
      <c r="K6" s="1"/>
      <c r="L6">
        <v>2021</v>
      </c>
      <c r="N6" s="1">
        <v>6049258000</v>
      </c>
      <c r="O6" s="1"/>
      <c r="P6">
        <v>2021</v>
      </c>
      <c r="Q6" s="1">
        <v>27276831000</v>
      </c>
      <c r="R6">
        <v>2021</v>
      </c>
      <c r="S6" s="1">
        <v>2555737000</v>
      </c>
      <c r="T6">
        <v>2021</v>
      </c>
      <c r="U6" s="1">
        <v>3531877000</v>
      </c>
      <c r="V6">
        <v>2021</v>
      </c>
      <c r="W6" s="1">
        <v>821690000</v>
      </c>
      <c r="X6">
        <v>2021</v>
      </c>
      <c r="Y6" s="1">
        <v>1792886000</v>
      </c>
      <c r="Z6">
        <v>2021</v>
      </c>
      <c r="AA6" s="1">
        <v>1027402000</v>
      </c>
      <c r="AB6">
        <v>2021</v>
      </c>
      <c r="AC6" s="1">
        <v>4993451000</v>
      </c>
      <c r="AD6">
        <v>2021</v>
      </c>
      <c r="AE6" s="1">
        <v>17131763000</v>
      </c>
      <c r="AF6">
        <v>2021</v>
      </c>
      <c r="AG6" s="1">
        <v>455065000</v>
      </c>
    </row>
    <row r="7" spans="1:33" x14ac:dyDescent="0.3">
      <c r="A7">
        <v>2022</v>
      </c>
      <c r="B7" s="1">
        <v>48467487000</v>
      </c>
      <c r="C7" s="1"/>
      <c r="D7">
        <v>2022</v>
      </c>
      <c r="F7" s="1">
        <v>8282322000</v>
      </c>
      <c r="G7" s="1"/>
      <c r="H7">
        <v>2022</v>
      </c>
      <c r="J7" s="1">
        <v>19308430000</v>
      </c>
      <c r="K7" s="1"/>
      <c r="L7">
        <v>2022</v>
      </c>
      <c r="N7" s="1">
        <v>7258727000</v>
      </c>
      <c r="O7" s="1"/>
      <c r="P7">
        <v>2022</v>
      </c>
      <c r="Q7" s="1">
        <v>29159057000</v>
      </c>
      <c r="R7">
        <v>2022</v>
      </c>
      <c r="S7" s="1">
        <v>2217091000</v>
      </c>
      <c r="T7">
        <v>2022</v>
      </c>
      <c r="U7" s="1">
        <v>3667643000</v>
      </c>
      <c r="V7">
        <v>2022</v>
      </c>
      <c r="W7" s="1">
        <v>1853894000</v>
      </c>
      <c r="X7">
        <v>2022</v>
      </c>
      <c r="Y7" s="1">
        <v>2919853000</v>
      </c>
      <c r="Z7">
        <v>2022</v>
      </c>
      <c r="AA7" s="1">
        <v>1668399000</v>
      </c>
      <c r="AB7">
        <v>2022</v>
      </c>
      <c r="AC7" s="1">
        <v>3662352000</v>
      </c>
      <c r="AD7">
        <v>2022</v>
      </c>
      <c r="AE7" s="1">
        <v>17988687000</v>
      </c>
      <c r="AF7">
        <v>2022</v>
      </c>
      <c r="AG7" s="1">
        <v>519431000</v>
      </c>
    </row>
    <row r="8" spans="1:33" x14ac:dyDescent="0.3">
      <c r="A8">
        <v>2023</v>
      </c>
      <c r="B8" s="1">
        <v>50192160000</v>
      </c>
      <c r="C8" s="1"/>
      <c r="D8">
        <v>2023</v>
      </c>
      <c r="F8" s="1">
        <v>6713000000</v>
      </c>
      <c r="G8" s="1"/>
      <c r="H8">
        <v>2023</v>
      </c>
      <c r="J8" s="1">
        <v>17833000000</v>
      </c>
      <c r="K8" s="1"/>
      <c r="L8">
        <v>2023</v>
      </c>
      <c r="N8" s="1">
        <v>7456000000</v>
      </c>
      <c r="O8" s="1"/>
      <c r="P8">
        <v>2023</v>
      </c>
      <c r="Q8" s="1">
        <v>32359000000</v>
      </c>
      <c r="R8">
        <v>2023</v>
      </c>
      <c r="S8" s="1">
        <v>4049000000</v>
      </c>
      <c r="T8">
        <v>2023</v>
      </c>
      <c r="U8" s="1">
        <v>3759000000</v>
      </c>
      <c r="V8">
        <v>2023</v>
      </c>
      <c r="W8" s="1">
        <v>936000000</v>
      </c>
      <c r="X8">
        <v>2023</v>
      </c>
      <c r="Y8" s="1">
        <v>3999000000</v>
      </c>
      <c r="Z8">
        <v>2023</v>
      </c>
      <c r="AA8" s="1">
        <v>1871000000</v>
      </c>
      <c r="AB8">
        <v>2023</v>
      </c>
      <c r="AC8" s="1">
        <v>2301000000</v>
      </c>
      <c r="AD8">
        <v>2023</v>
      </c>
      <c r="AE8" s="1">
        <v>20935000000</v>
      </c>
      <c r="AF8">
        <v>2023</v>
      </c>
      <c r="AG8" s="1">
        <v>640000000</v>
      </c>
    </row>
    <row r="9" spans="1:33" x14ac:dyDescent="0.3">
      <c r="A9">
        <v>2024</v>
      </c>
      <c r="B9" s="1">
        <v>56759000000</v>
      </c>
      <c r="C9" s="1"/>
      <c r="D9">
        <v>2024</v>
      </c>
      <c r="F9" s="1">
        <v>6871000000</v>
      </c>
      <c r="G9" s="1"/>
      <c r="H9">
        <v>2024</v>
      </c>
      <c r="J9" s="1">
        <v>22851000000</v>
      </c>
      <c r="K9" s="1"/>
      <c r="L9">
        <v>2024</v>
      </c>
      <c r="N9" s="1">
        <v>9576000000</v>
      </c>
      <c r="O9" s="1"/>
      <c r="P9">
        <v>2024</v>
      </c>
      <c r="Q9" s="1">
        <v>33908000000</v>
      </c>
      <c r="R9">
        <v>2024</v>
      </c>
      <c r="S9" s="1">
        <v>3756000000</v>
      </c>
      <c r="T9">
        <v>2024</v>
      </c>
      <c r="U9" s="1">
        <v>4285000000</v>
      </c>
      <c r="V9">
        <v>2024</v>
      </c>
      <c r="W9" s="1">
        <v>8247000000</v>
      </c>
      <c r="X9">
        <v>2024</v>
      </c>
      <c r="Y9" s="1">
        <v>3033000000</v>
      </c>
      <c r="Z9">
        <v>2024</v>
      </c>
      <c r="AA9" s="1">
        <v>3129000000</v>
      </c>
      <c r="AB9">
        <v>2024</v>
      </c>
      <c r="AC9" s="1">
        <v>1427000000</v>
      </c>
      <c r="AD9">
        <v>2024</v>
      </c>
      <c r="AE9" s="1">
        <v>24383000000</v>
      </c>
      <c r="AF9">
        <v>2024</v>
      </c>
      <c r="AG9" s="1">
        <v>681000000</v>
      </c>
    </row>
    <row r="10" spans="1:33" x14ac:dyDescent="0.3">
      <c r="A10" t="s">
        <v>2</v>
      </c>
      <c r="D10" t="s">
        <v>2</v>
      </c>
    </row>
    <row r="11" spans="1:33" x14ac:dyDescent="0.3">
      <c r="A11" t="s">
        <v>16</v>
      </c>
    </row>
    <row r="12" spans="1:33" x14ac:dyDescent="0.3">
      <c r="A12" s="7" t="s">
        <v>21</v>
      </c>
      <c r="B12" s="7"/>
      <c r="C12" s="7"/>
      <c r="D12" s="7"/>
      <c r="E12" s="7"/>
      <c r="F12" s="7"/>
      <c r="G12" s="2"/>
      <c r="H12" s="7" t="s">
        <v>25</v>
      </c>
      <c r="I12" s="7"/>
      <c r="J12" s="7"/>
      <c r="K12" s="7"/>
      <c r="L12" s="7"/>
      <c r="M12" s="7" t="s">
        <v>28</v>
      </c>
      <c r="N12" s="7"/>
      <c r="O12" s="7"/>
      <c r="P12" s="7"/>
      <c r="Q12" s="7" t="s">
        <v>30</v>
      </c>
      <c r="R12" s="7"/>
      <c r="S12" s="7"/>
      <c r="T12" s="7"/>
      <c r="U12" s="8" t="s">
        <v>35</v>
      </c>
      <c r="V12" s="9"/>
      <c r="W12" s="9"/>
      <c r="X12" s="9"/>
      <c r="Y12" s="9"/>
      <c r="Z12" s="9"/>
      <c r="AA12" s="9"/>
      <c r="AB12" s="10"/>
    </row>
    <row r="13" spans="1:33" x14ac:dyDescent="0.3">
      <c r="A13" s="3" t="s">
        <v>1</v>
      </c>
      <c r="B13" s="3" t="s">
        <v>18</v>
      </c>
      <c r="C13" s="3" t="s">
        <v>1</v>
      </c>
      <c r="D13" s="3" t="s">
        <v>19</v>
      </c>
      <c r="E13" s="3" t="s">
        <v>1</v>
      </c>
      <c r="F13" s="3" t="s">
        <v>20</v>
      </c>
      <c r="G13" s="3" t="s">
        <v>1</v>
      </c>
      <c r="H13" s="3" t="s">
        <v>22</v>
      </c>
      <c r="I13" s="3" t="s">
        <v>1</v>
      </c>
      <c r="J13" s="3" t="s">
        <v>23</v>
      </c>
      <c r="K13" s="3" t="s">
        <v>1</v>
      </c>
      <c r="L13" s="3" t="s">
        <v>24</v>
      </c>
      <c r="M13" s="3" t="s">
        <v>1</v>
      </c>
      <c r="N13" s="3" t="s">
        <v>26</v>
      </c>
      <c r="O13" s="3" t="s">
        <v>1</v>
      </c>
      <c r="P13" s="3" t="s">
        <v>27</v>
      </c>
      <c r="Q13" s="3" t="s">
        <v>1</v>
      </c>
      <c r="R13" s="3" t="s">
        <v>29</v>
      </c>
      <c r="S13" s="3" t="s">
        <v>1</v>
      </c>
      <c r="T13" s="3" t="s">
        <v>31</v>
      </c>
      <c r="U13" s="3" t="s">
        <v>1</v>
      </c>
      <c r="V13" s="3" t="s">
        <v>32</v>
      </c>
      <c r="W13" s="3" t="s">
        <v>1</v>
      </c>
      <c r="X13" s="3" t="s">
        <v>33</v>
      </c>
      <c r="Y13" s="3" t="s">
        <v>1</v>
      </c>
      <c r="Z13" s="3" t="s">
        <v>37</v>
      </c>
      <c r="AA13" s="3" t="s">
        <v>1</v>
      </c>
      <c r="AB13" s="3" t="s">
        <v>34</v>
      </c>
    </row>
    <row r="14" spans="1:33" x14ac:dyDescent="0.3">
      <c r="A14" s="3">
        <v>2019</v>
      </c>
      <c r="B14" s="6">
        <f>S4/AE4</f>
        <v>6.9922886762333714E-2</v>
      </c>
      <c r="C14" s="3">
        <v>2019</v>
      </c>
      <c r="D14" s="6">
        <f t="shared" ref="D14:D19" si="0">S4/B4</f>
        <v>2.3144237038942927E-2</v>
      </c>
      <c r="E14" s="3">
        <v>2019</v>
      </c>
      <c r="F14" s="6">
        <f>S4/Q4</f>
        <v>3.7115581639603858E-2</v>
      </c>
      <c r="G14" s="3">
        <v>2019</v>
      </c>
      <c r="H14" s="3">
        <f t="shared" ref="H14:H19" si="1">F4/N4</f>
        <v>1.4256880480114229</v>
      </c>
      <c r="I14" s="3">
        <v>2019</v>
      </c>
      <c r="J14" s="3">
        <f t="shared" ref="J14:J19" si="2">(F4-AG4)/N4</f>
        <v>1.3601980248735004</v>
      </c>
      <c r="K14" s="3">
        <v>2019</v>
      </c>
      <c r="L14" s="3">
        <f>U4/N4</f>
        <v>0.45754106154029356</v>
      </c>
      <c r="M14" s="3">
        <v>2019</v>
      </c>
      <c r="N14" s="3">
        <f>J4/Q4</f>
        <v>0.60366408178210773</v>
      </c>
      <c r="O14" s="3">
        <v>2019</v>
      </c>
      <c r="P14" s="6">
        <f t="shared" ref="P14:P19" si="3">J4/B4</f>
        <v>0.37642801172629148</v>
      </c>
      <c r="Q14" s="3">
        <v>2019</v>
      </c>
      <c r="R14" s="3">
        <f>AE4/B4</f>
        <v>0.33099658939439469</v>
      </c>
      <c r="S14" s="3">
        <v>2019</v>
      </c>
      <c r="T14" s="6">
        <f>AA4/U4</f>
        <v>0.43128411912444214</v>
      </c>
      <c r="U14" s="3">
        <v>2019</v>
      </c>
      <c r="V14" s="6">
        <f>U4/AE4</f>
        <v>0.16412361856524918</v>
      </c>
      <c r="W14" s="3">
        <v>2019</v>
      </c>
      <c r="X14" s="3">
        <f>U4/S4</f>
        <v>2.3472088491297791</v>
      </c>
      <c r="Y14" s="3">
        <v>2019</v>
      </c>
      <c r="Z14" s="4">
        <f>U4-AA4</f>
        <v>1391927000</v>
      </c>
      <c r="AA14" s="3">
        <v>2019</v>
      </c>
      <c r="AB14" s="6">
        <f>U4/J4</f>
        <v>0.14431539707959989</v>
      </c>
    </row>
    <row r="15" spans="1:33" x14ac:dyDescent="0.3">
      <c r="A15" s="3">
        <v>2020</v>
      </c>
      <c r="B15" s="6">
        <f t="shared" ref="B15:B18" si="4">S5/AE5</f>
        <v>4.2336722517129187E-2</v>
      </c>
      <c r="C15" s="3">
        <v>2020</v>
      </c>
      <c r="D15" s="6">
        <f t="shared" si="0"/>
        <v>1.2743155494219506E-2</v>
      </c>
      <c r="E15" s="3">
        <v>2020</v>
      </c>
      <c r="F15" s="6">
        <f t="shared" ref="F15:F19" si="5">S5/Q5</f>
        <v>2.0991279978460807E-2</v>
      </c>
      <c r="G15" s="3">
        <v>2020</v>
      </c>
      <c r="H15" s="3">
        <f t="shared" si="1"/>
        <v>1.3082549148567595</v>
      </c>
      <c r="I15" s="3">
        <v>2020</v>
      </c>
      <c r="J15" s="3">
        <f t="shared" si="2"/>
        <v>1.2334289154519438</v>
      </c>
      <c r="K15" s="3">
        <v>2020</v>
      </c>
      <c r="L15" s="3">
        <f t="shared" ref="L15:L19" si="6">U5/N5</f>
        <v>0.43539979131148393</v>
      </c>
      <c r="M15" s="3">
        <v>2020</v>
      </c>
      <c r="N15" s="3">
        <f t="shared" ref="N15:N19" si="7">J5/Q5</f>
        <v>0.64725918850968889</v>
      </c>
      <c r="O15" s="3">
        <v>2020</v>
      </c>
      <c r="P15" s="6">
        <f t="shared" si="3"/>
        <v>0.39293099290299199</v>
      </c>
      <c r="Q15" s="3">
        <v>2020</v>
      </c>
      <c r="R15" s="3">
        <f t="shared" ref="R15:R19" si="8">AE5/B5</f>
        <v>0.30099532360030234</v>
      </c>
      <c r="S15" s="3">
        <v>2020</v>
      </c>
      <c r="T15" s="6">
        <f t="shared" ref="T15:T19" si="9">AA5/U5</f>
        <v>0.35759217833449702</v>
      </c>
      <c r="U15" s="3">
        <v>2020</v>
      </c>
      <c r="V15" s="6">
        <f t="shared" ref="V15:V19" si="10">U5/AE5</f>
        <v>0.18238502234008555</v>
      </c>
      <c r="W15" s="3">
        <v>2020</v>
      </c>
      <c r="X15" s="3">
        <f t="shared" ref="X15:X19" si="11">U5/S5</f>
        <v>4.3079627211646727</v>
      </c>
      <c r="Y15" s="3">
        <v>2020</v>
      </c>
      <c r="Z15" s="4">
        <f t="shared" ref="Z15:Z19" si="12">U5-AA5</f>
        <v>1570558000</v>
      </c>
      <c r="AA15" s="3">
        <v>2020</v>
      </c>
      <c r="AB15" s="6">
        <f t="shared" ref="AB15:AB19" si="13">U5/J5</f>
        <v>0.13971165372708477</v>
      </c>
    </row>
    <row r="16" spans="1:33" x14ac:dyDescent="0.3">
      <c r="A16" s="3">
        <v>2021</v>
      </c>
      <c r="B16" s="6">
        <f t="shared" si="4"/>
        <v>0.14918120219150827</v>
      </c>
      <c r="C16" s="3">
        <v>2021</v>
      </c>
      <c r="D16" s="6">
        <f t="shared" si="0"/>
        <v>5.6157369669689275E-2</v>
      </c>
      <c r="E16" s="3">
        <v>2021</v>
      </c>
      <c r="F16" s="6">
        <f t="shared" si="5"/>
        <v>9.3696258190696713E-2</v>
      </c>
      <c r="G16" s="3">
        <v>2021</v>
      </c>
      <c r="H16" s="3">
        <f t="shared" si="1"/>
        <v>1.4105949853684534</v>
      </c>
      <c r="I16" s="3">
        <v>2021</v>
      </c>
      <c r="J16" s="3">
        <f t="shared" si="2"/>
        <v>1.3353684038604403</v>
      </c>
      <c r="K16" s="3">
        <v>2021</v>
      </c>
      <c r="L16" s="3">
        <f t="shared" si="6"/>
        <v>0.58385292873935946</v>
      </c>
      <c r="M16" s="3">
        <v>2021</v>
      </c>
      <c r="N16" s="3">
        <f t="shared" si="7"/>
        <v>0.66845881033614207</v>
      </c>
      <c r="O16" s="3">
        <v>2021</v>
      </c>
      <c r="P16" s="6">
        <f t="shared" si="3"/>
        <v>0.40064447872193415</v>
      </c>
      <c r="Q16" s="3">
        <v>2021</v>
      </c>
      <c r="R16" s="3">
        <f t="shared" si="8"/>
        <v>0.37643730473225723</v>
      </c>
      <c r="S16" s="3">
        <v>2021</v>
      </c>
      <c r="T16" s="6">
        <f t="shared" si="9"/>
        <v>0.2908940486885585</v>
      </c>
      <c r="U16" s="3">
        <v>2021</v>
      </c>
      <c r="V16" s="6">
        <f t="shared" si="10"/>
        <v>0.20615957622108128</v>
      </c>
      <c r="W16" s="3">
        <v>2021</v>
      </c>
      <c r="X16" s="3">
        <f t="shared" si="11"/>
        <v>1.3819407082966675</v>
      </c>
      <c r="Y16" s="3">
        <v>2021</v>
      </c>
      <c r="Z16" s="4">
        <f t="shared" si="12"/>
        <v>2504475000</v>
      </c>
      <c r="AA16" s="3">
        <v>2021</v>
      </c>
      <c r="AB16" s="6">
        <f t="shared" si="13"/>
        <v>0.19370329391527807</v>
      </c>
    </row>
    <row r="17" spans="1:28" x14ac:dyDescent="0.3">
      <c r="A17" s="3">
        <v>2022</v>
      </c>
      <c r="B17" s="6">
        <f t="shared" si="4"/>
        <v>0.1232491843345765</v>
      </c>
      <c r="C17" s="3">
        <v>2022</v>
      </c>
      <c r="D17" s="6">
        <f t="shared" si="0"/>
        <v>4.5743881872810942E-2</v>
      </c>
      <c r="E17" s="3">
        <v>2022</v>
      </c>
      <c r="F17" s="6">
        <f t="shared" si="5"/>
        <v>7.6034386160018827E-2</v>
      </c>
      <c r="G17" s="3">
        <v>2022</v>
      </c>
      <c r="H17" s="3">
        <f t="shared" si="1"/>
        <v>1.1410157731514079</v>
      </c>
      <c r="I17" s="3">
        <v>2022</v>
      </c>
      <c r="J17" s="3">
        <f t="shared" si="2"/>
        <v>1.0694562558972118</v>
      </c>
      <c r="K17" s="3">
        <v>2022</v>
      </c>
      <c r="L17" s="3">
        <f t="shared" si="6"/>
        <v>0.50527358309521764</v>
      </c>
      <c r="M17" s="3">
        <v>2022</v>
      </c>
      <c r="N17" s="3">
        <f t="shared" si="7"/>
        <v>0.66217607791637434</v>
      </c>
      <c r="O17" s="3">
        <v>2022</v>
      </c>
      <c r="P17" s="6">
        <f t="shared" si="3"/>
        <v>0.39837902055866853</v>
      </c>
      <c r="Q17" s="3">
        <v>2022</v>
      </c>
      <c r="R17" s="3">
        <f t="shared" si="8"/>
        <v>0.37114957084529676</v>
      </c>
      <c r="S17" s="3">
        <v>2022</v>
      </c>
      <c r="T17" s="6">
        <f t="shared" si="9"/>
        <v>0.4548967824840095</v>
      </c>
      <c r="U17" s="3">
        <v>2022</v>
      </c>
      <c r="V17" s="6">
        <f t="shared" si="10"/>
        <v>0.20388608685002968</v>
      </c>
      <c r="W17" s="3">
        <v>2022</v>
      </c>
      <c r="X17" s="3">
        <f>U7/S7</f>
        <v>1.6542591170141414</v>
      </c>
      <c r="Y17" s="3">
        <v>2022</v>
      </c>
      <c r="Z17" s="4">
        <f t="shared" si="12"/>
        <v>1999244000</v>
      </c>
      <c r="AA17" s="3">
        <v>2022</v>
      </c>
      <c r="AB17" s="6">
        <f t="shared" si="13"/>
        <v>0.18995034811219763</v>
      </c>
    </row>
    <row r="18" spans="1:28" x14ac:dyDescent="0.3">
      <c r="A18" s="3">
        <v>2023</v>
      </c>
      <c r="B18" s="6">
        <f t="shared" si="4"/>
        <v>0.19340816813947934</v>
      </c>
      <c r="C18" s="3">
        <v>2023</v>
      </c>
      <c r="D18" s="6">
        <f t="shared" si="0"/>
        <v>8.0669969174468684E-2</v>
      </c>
      <c r="E18" s="3">
        <v>2023</v>
      </c>
      <c r="F18" s="6">
        <f t="shared" si="5"/>
        <v>0.12512747612719799</v>
      </c>
      <c r="G18" s="3">
        <v>2023</v>
      </c>
      <c r="H18" s="3">
        <f t="shared" si="1"/>
        <v>0.90034871244635195</v>
      </c>
      <c r="I18" s="3">
        <v>2023</v>
      </c>
      <c r="J18" s="3">
        <f t="shared" si="2"/>
        <v>0.81451180257510725</v>
      </c>
      <c r="K18" s="3">
        <v>2023</v>
      </c>
      <c r="L18" s="3">
        <f t="shared" si="6"/>
        <v>0.50415772532188841</v>
      </c>
      <c r="M18" s="3">
        <v>2023</v>
      </c>
      <c r="N18" s="3">
        <f t="shared" si="7"/>
        <v>0.55109861244167002</v>
      </c>
      <c r="O18" s="3">
        <v>2023</v>
      </c>
      <c r="P18" s="6">
        <f t="shared" si="3"/>
        <v>0.35529453205440847</v>
      </c>
      <c r="Q18" s="3">
        <v>2023</v>
      </c>
      <c r="R18" s="3">
        <f t="shared" si="8"/>
        <v>0.41709701276055861</v>
      </c>
      <c r="S18" s="3">
        <v>2023</v>
      </c>
      <c r="T18" s="6">
        <f t="shared" si="9"/>
        <v>0.49773876030859271</v>
      </c>
      <c r="U18" s="3">
        <v>2023</v>
      </c>
      <c r="V18" s="6">
        <f t="shared" si="10"/>
        <v>0.17955576785287797</v>
      </c>
      <c r="W18" s="3">
        <v>2023</v>
      </c>
      <c r="X18" s="3">
        <f t="shared" si="11"/>
        <v>0.92837737713015556</v>
      </c>
      <c r="Y18" s="3">
        <v>2023</v>
      </c>
      <c r="Z18" s="4">
        <f t="shared" si="12"/>
        <v>1888000000</v>
      </c>
      <c r="AA18" s="3">
        <v>2023</v>
      </c>
      <c r="AB18" s="6">
        <f t="shared" si="13"/>
        <v>0.21078898671003196</v>
      </c>
    </row>
    <row r="19" spans="1:28" x14ac:dyDescent="0.3">
      <c r="A19" s="3">
        <v>2024</v>
      </c>
      <c r="B19" s="6">
        <f>S9/AE9</f>
        <v>0.15404175039986875</v>
      </c>
      <c r="C19" s="3">
        <v>2024</v>
      </c>
      <c r="D19" s="6">
        <f t="shared" si="0"/>
        <v>6.6174527387727056E-2</v>
      </c>
      <c r="E19" s="3">
        <v>2024</v>
      </c>
      <c r="F19" s="6">
        <f t="shared" si="5"/>
        <v>0.11077031968856907</v>
      </c>
      <c r="G19" s="3">
        <v>2024</v>
      </c>
      <c r="H19" s="3">
        <f t="shared" si="1"/>
        <v>0.71752297410192145</v>
      </c>
      <c r="I19" s="3">
        <v>2024</v>
      </c>
      <c r="J19" s="3">
        <f t="shared" si="2"/>
        <v>0.6464076858813701</v>
      </c>
      <c r="K19" s="3">
        <v>2024</v>
      </c>
      <c r="L19" s="3">
        <f t="shared" si="6"/>
        <v>0.44747284878863824</v>
      </c>
      <c r="M19" s="3">
        <v>2024</v>
      </c>
      <c r="N19" s="3">
        <f t="shared" si="7"/>
        <v>0.67391176123628638</v>
      </c>
      <c r="O19" s="3">
        <v>2024</v>
      </c>
      <c r="P19" s="6">
        <f t="shared" si="3"/>
        <v>0.40259694497788895</v>
      </c>
      <c r="Q19" s="3">
        <v>2024</v>
      </c>
      <c r="R19" s="3">
        <f t="shared" si="8"/>
        <v>0.42958825913071053</v>
      </c>
      <c r="S19" s="3">
        <v>2024</v>
      </c>
      <c r="T19" s="6">
        <f t="shared" si="9"/>
        <v>0.73022170361726957</v>
      </c>
      <c r="U19" s="3">
        <v>2024</v>
      </c>
      <c r="V19" s="6">
        <f t="shared" si="10"/>
        <v>0.17573719394660214</v>
      </c>
      <c r="W19" s="3">
        <v>2024</v>
      </c>
      <c r="X19" s="3">
        <f t="shared" si="11"/>
        <v>1.1408413205537806</v>
      </c>
      <c r="Y19" s="3">
        <v>2024</v>
      </c>
      <c r="Z19" s="4">
        <f t="shared" si="12"/>
        <v>1156000000</v>
      </c>
      <c r="AA19" s="3">
        <v>2024</v>
      </c>
      <c r="AB19" s="6">
        <f t="shared" si="13"/>
        <v>0.1875191457704258</v>
      </c>
    </row>
    <row r="22" spans="1:28" x14ac:dyDescent="0.3">
      <c r="A22" t="s">
        <v>36</v>
      </c>
    </row>
    <row r="23" spans="1:28" x14ac:dyDescent="0.3">
      <c r="A23" s="3" t="s">
        <v>1</v>
      </c>
      <c r="B23" s="3" t="s">
        <v>18</v>
      </c>
      <c r="C23" s="3" t="s">
        <v>19</v>
      </c>
      <c r="D23" s="3" t="s">
        <v>20</v>
      </c>
      <c r="E23" s="3" t="s">
        <v>22</v>
      </c>
      <c r="F23" s="3" t="s">
        <v>23</v>
      </c>
      <c r="G23" s="3" t="s">
        <v>24</v>
      </c>
      <c r="H23" s="3" t="s">
        <v>26</v>
      </c>
      <c r="I23" s="3" t="s">
        <v>27</v>
      </c>
      <c r="J23" s="3" t="s">
        <v>29</v>
      </c>
      <c r="K23" s="3" t="s">
        <v>31</v>
      </c>
      <c r="L23" s="3" t="s">
        <v>32</v>
      </c>
      <c r="M23" s="3" t="s">
        <v>33</v>
      </c>
      <c r="N23" s="3" t="s">
        <v>37</v>
      </c>
      <c r="O23" s="3" t="s">
        <v>34</v>
      </c>
      <c r="P23" s="3" t="s">
        <v>10</v>
      </c>
      <c r="Q23" s="3" t="s">
        <v>13</v>
      </c>
      <c r="R23" s="3" t="s">
        <v>12</v>
      </c>
      <c r="S23" s="3" t="s">
        <v>38</v>
      </c>
      <c r="T23" s="3" t="s">
        <v>39</v>
      </c>
      <c r="U23" s="3" t="s">
        <v>14</v>
      </c>
    </row>
    <row r="24" spans="1:28" x14ac:dyDescent="0.3">
      <c r="A24" s="3">
        <v>2019</v>
      </c>
      <c r="B24" s="6">
        <f>B14</f>
        <v>6.9922886762333714E-2</v>
      </c>
      <c r="C24" s="6">
        <f>D14</f>
        <v>2.3144237038942927E-2</v>
      </c>
      <c r="D24" s="6">
        <f>F14</f>
        <v>3.7115581639603858E-2</v>
      </c>
      <c r="E24" s="5">
        <f>H14</f>
        <v>1.4256880480114229</v>
      </c>
      <c r="F24" s="5">
        <f>J14</f>
        <v>1.3601980248735004</v>
      </c>
      <c r="G24" s="5">
        <f>L14</f>
        <v>0.45754106154029356</v>
      </c>
      <c r="H24" s="5">
        <f>N14</f>
        <v>0.60366408178210773</v>
      </c>
      <c r="I24" s="6">
        <f>P14</f>
        <v>0.37642801172629148</v>
      </c>
      <c r="J24" s="5">
        <f>R14</f>
        <v>0.33099658939439469</v>
      </c>
      <c r="K24" s="6">
        <f>T14</f>
        <v>0.43128411912444214</v>
      </c>
      <c r="L24" s="6">
        <f>V14</f>
        <v>0.16412361856524918</v>
      </c>
      <c r="M24" s="5">
        <f>X14</f>
        <v>2.3472088491297791</v>
      </c>
      <c r="N24" s="4">
        <f>Z14</f>
        <v>1391927000</v>
      </c>
      <c r="O24" s="6">
        <f>AB14</f>
        <v>0.14431539707959989</v>
      </c>
      <c r="P24" s="4">
        <v>2447491000</v>
      </c>
      <c r="Q24" s="4">
        <v>2594182000</v>
      </c>
      <c r="R24" s="4">
        <v>2915135000</v>
      </c>
      <c r="S24" s="4">
        <f>F4-J4</f>
        <v>-9332991000</v>
      </c>
      <c r="T24" s="4">
        <f>U4+W4+Y4</f>
        <v>7956808000</v>
      </c>
      <c r="U24" s="4">
        <v>2641463000</v>
      </c>
    </row>
    <row r="25" spans="1:28" x14ac:dyDescent="0.3">
      <c r="A25" s="3">
        <v>2020</v>
      </c>
      <c r="B25" s="6">
        <f t="shared" ref="B25:B29" si="14">B15</f>
        <v>4.2336722517129187E-2</v>
      </c>
      <c r="C25" s="6">
        <f t="shared" ref="C25:C29" si="15">D15</f>
        <v>1.2743155494219506E-2</v>
      </c>
      <c r="D25" s="6">
        <f t="shared" ref="D25:D29" si="16">F15</f>
        <v>2.0991279978460807E-2</v>
      </c>
      <c r="E25" s="5">
        <f t="shared" ref="E25:E29" si="17">H15</f>
        <v>1.3082549148567595</v>
      </c>
      <c r="F25" s="5">
        <f t="shared" ref="F25:F29" si="18">J15</f>
        <v>1.2334289154519438</v>
      </c>
      <c r="G25" s="5">
        <f t="shared" ref="G25:G29" si="19">L15</f>
        <v>0.43539979131148393</v>
      </c>
      <c r="H25" s="5">
        <f t="shared" ref="H25:H29" si="20">N15</f>
        <v>0.64725918850968889</v>
      </c>
      <c r="I25" s="6">
        <f t="shared" ref="I25:I29" si="21">P15</f>
        <v>0.39293099290299199</v>
      </c>
      <c r="J25" s="5">
        <f t="shared" ref="J25:J29" si="22">R15</f>
        <v>0.30099532360030234</v>
      </c>
      <c r="K25" s="6">
        <f t="shared" ref="K25:K29" si="23">T15</f>
        <v>0.35759217833449702</v>
      </c>
      <c r="L25" s="6">
        <f t="shared" ref="L25:L29" si="24">V15</f>
        <v>0.18238502234008555</v>
      </c>
      <c r="M25" s="5">
        <f t="shared" ref="M25:M29" si="25">X15</f>
        <v>4.3079627211646727</v>
      </c>
      <c r="N25" s="4">
        <f t="shared" ref="N25:N29" si="26">Z15</f>
        <v>1570558000</v>
      </c>
      <c r="O25" s="6">
        <f t="shared" ref="O25:O29" si="27">AB15</f>
        <v>0.13971165372708477</v>
      </c>
      <c r="P25" s="4">
        <v>2444799000</v>
      </c>
      <c r="Q25" s="4">
        <v>2077826000</v>
      </c>
      <c r="R25" s="4">
        <v>860058000</v>
      </c>
      <c r="S25" s="4">
        <f t="shared" ref="S25:S29" si="28">F5-J5</f>
        <v>-10152952000</v>
      </c>
      <c r="T25" s="4">
        <f t="shared" ref="T25:T29" si="29">U5+W5+Y5</f>
        <v>5382683000</v>
      </c>
      <c r="U25" s="4">
        <v>2264047000</v>
      </c>
    </row>
    <row r="26" spans="1:28" x14ac:dyDescent="0.3">
      <c r="A26" s="3">
        <v>2021</v>
      </c>
      <c r="B26" s="6">
        <f t="shared" si="14"/>
        <v>0.14918120219150827</v>
      </c>
      <c r="C26" s="6">
        <f t="shared" si="15"/>
        <v>5.6157369669689275E-2</v>
      </c>
      <c r="D26" s="6">
        <f t="shared" si="16"/>
        <v>9.3696258190696713E-2</v>
      </c>
      <c r="E26" s="5">
        <f t="shared" si="17"/>
        <v>1.4105949853684534</v>
      </c>
      <c r="F26" s="5">
        <f t="shared" si="18"/>
        <v>1.3353684038604403</v>
      </c>
      <c r="G26" s="5">
        <f t="shared" si="19"/>
        <v>0.58385292873935946</v>
      </c>
      <c r="H26" s="5">
        <f t="shared" si="20"/>
        <v>0.66845881033614207</v>
      </c>
      <c r="I26" s="6">
        <f t="shared" si="21"/>
        <v>0.40064447872193415</v>
      </c>
      <c r="J26" s="5">
        <f t="shared" si="22"/>
        <v>0.37643730473225723</v>
      </c>
      <c r="K26" s="6">
        <f t="shared" si="23"/>
        <v>0.2908940486885585</v>
      </c>
      <c r="L26" s="6">
        <f t="shared" si="24"/>
        <v>0.20615957622108128</v>
      </c>
      <c r="M26" s="5">
        <f t="shared" si="25"/>
        <v>1.3819407082966675</v>
      </c>
      <c r="N26" s="4">
        <f t="shared" si="26"/>
        <v>2504475000</v>
      </c>
      <c r="O26" s="6">
        <f t="shared" si="27"/>
        <v>0.19370329391527807</v>
      </c>
      <c r="P26" s="4">
        <v>3531877000</v>
      </c>
      <c r="Q26" s="4">
        <v>821690000</v>
      </c>
      <c r="R26" s="4">
        <v>1792886000</v>
      </c>
      <c r="S26" s="4">
        <f t="shared" si="28"/>
        <v>-9700385000</v>
      </c>
      <c r="T26" s="4">
        <f t="shared" si="29"/>
        <v>6146453000</v>
      </c>
      <c r="U26" s="4">
        <v>4993451000</v>
      </c>
    </row>
    <row r="27" spans="1:28" x14ac:dyDescent="0.3">
      <c r="A27" s="3">
        <v>2022</v>
      </c>
      <c r="B27" s="6">
        <f t="shared" si="14"/>
        <v>0.1232491843345765</v>
      </c>
      <c r="C27" s="6">
        <f t="shared" si="15"/>
        <v>4.5743881872810942E-2</v>
      </c>
      <c r="D27" s="6">
        <f t="shared" si="16"/>
        <v>7.6034386160018827E-2</v>
      </c>
      <c r="E27" s="5">
        <f t="shared" si="17"/>
        <v>1.1410157731514079</v>
      </c>
      <c r="F27" s="5">
        <f t="shared" si="18"/>
        <v>1.0694562558972118</v>
      </c>
      <c r="G27" s="5">
        <f t="shared" si="19"/>
        <v>0.50527358309521764</v>
      </c>
      <c r="H27" s="5">
        <f t="shared" si="20"/>
        <v>0.66217607791637434</v>
      </c>
      <c r="I27" s="6">
        <f t="shared" si="21"/>
        <v>0.39837902055866853</v>
      </c>
      <c r="J27" s="5">
        <f t="shared" si="22"/>
        <v>0.37114957084529676</v>
      </c>
      <c r="K27" s="6">
        <f t="shared" si="23"/>
        <v>0.4548967824840095</v>
      </c>
      <c r="L27" s="6">
        <f t="shared" si="24"/>
        <v>0.20388608685002968</v>
      </c>
      <c r="M27" s="5">
        <f t="shared" si="25"/>
        <v>1.6542591170141414</v>
      </c>
      <c r="N27" s="4">
        <f t="shared" si="26"/>
        <v>1999244000</v>
      </c>
      <c r="O27" s="6">
        <f t="shared" si="27"/>
        <v>0.18995034811219763</v>
      </c>
      <c r="P27" s="4">
        <v>3667643000</v>
      </c>
      <c r="Q27" s="4">
        <v>1853894000</v>
      </c>
      <c r="R27" s="4">
        <v>2919853</v>
      </c>
      <c r="S27" s="4">
        <f t="shared" si="28"/>
        <v>-11026108000</v>
      </c>
      <c r="T27" s="4">
        <f t="shared" si="29"/>
        <v>8441390000</v>
      </c>
      <c r="U27" s="4">
        <v>3662352000</v>
      </c>
    </row>
    <row r="28" spans="1:28" x14ac:dyDescent="0.3">
      <c r="A28" s="3">
        <v>2023</v>
      </c>
      <c r="B28" s="6">
        <f t="shared" si="14"/>
        <v>0.19340816813947934</v>
      </c>
      <c r="C28" s="6">
        <f t="shared" si="15"/>
        <v>8.0669969174468684E-2</v>
      </c>
      <c r="D28" s="6">
        <f t="shared" si="16"/>
        <v>0.12512747612719799</v>
      </c>
      <c r="E28" s="5">
        <f t="shared" si="17"/>
        <v>0.90034871244635195</v>
      </c>
      <c r="F28" s="5">
        <f t="shared" si="18"/>
        <v>0.81451180257510725</v>
      </c>
      <c r="G28" s="5">
        <f t="shared" si="19"/>
        <v>0.50415772532188841</v>
      </c>
      <c r="H28" s="5">
        <f t="shared" si="20"/>
        <v>0.55109861244167002</v>
      </c>
      <c r="I28" s="6">
        <f t="shared" si="21"/>
        <v>0.35529453205440847</v>
      </c>
      <c r="J28" s="5">
        <f t="shared" si="22"/>
        <v>0.41709701276055861</v>
      </c>
      <c r="K28" s="6">
        <f t="shared" si="23"/>
        <v>0.49773876030859271</v>
      </c>
      <c r="L28" s="6">
        <f t="shared" si="24"/>
        <v>0.17955576785287797</v>
      </c>
      <c r="M28" s="5">
        <f t="shared" si="25"/>
        <v>0.92837737713015556</v>
      </c>
      <c r="N28" s="4">
        <f t="shared" si="26"/>
        <v>1888000000</v>
      </c>
      <c r="O28" s="6">
        <f t="shared" si="27"/>
        <v>0.21078898671003196</v>
      </c>
      <c r="P28" s="4">
        <v>3759000000</v>
      </c>
      <c r="Q28" s="4">
        <v>936000000</v>
      </c>
      <c r="R28" s="4">
        <v>3999000000</v>
      </c>
      <c r="S28" s="4">
        <f t="shared" si="28"/>
        <v>-11120000000</v>
      </c>
      <c r="T28" s="4">
        <f t="shared" si="29"/>
        <v>8694000000</v>
      </c>
      <c r="U28" s="4">
        <v>2301000000</v>
      </c>
    </row>
    <row r="29" spans="1:28" x14ac:dyDescent="0.3">
      <c r="A29" s="3">
        <v>2024</v>
      </c>
      <c r="B29" s="6">
        <f t="shared" si="14"/>
        <v>0.15404175039986875</v>
      </c>
      <c r="C29" s="6">
        <f t="shared" si="15"/>
        <v>6.6174527387727056E-2</v>
      </c>
      <c r="D29" s="6">
        <f t="shared" si="16"/>
        <v>0.11077031968856907</v>
      </c>
      <c r="E29" s="5">
        <f t="shared" si="17"/>
        <v>0.71752297410192145</v>
      </c>
      <c r="F29" s="5">
        <f t="shared" si="18"/>
        <v>0.6464076858813701</v>
      </c>
      <c r="G29" s="5">
        <f t="shared" si="19"/>
        <v>0.44747284878863824</v>
      </c>
      <c r="H29" s="5">
        <f t="shared" si="20"/>
        <v>0.67391176123628638</v>
      </c>
      <c r="I29" s="6">
        <f t="shared" si="21"/>
        <v>0.40259694497788895</v>
      </c>
      <c r="J29" s="5">
        <f t="shared" si="22"/>
        <v>0.42958825913071053</v>
      </c>
      <c r="K29" s="6">
        <f t="shared" si="23"/>
        <v>0.73022170361726957</v>
      </c>
      <c r="L29" s="6">
        <f t="shared" si="24"/>
        <v>0.17573719394660214</v>
      </c>
      <c r="M29" s="5">
        <f t="shared" si="25"/>
        <v>1.1408413205537806</v>
      </c>
      <c r="N29" s="4">
        <f t="shared" si="26"/>
        <v>1156000000</v>
      </c>
      <c r="O29" s="6">
        <f t="shared" si="27"/>
        <v>0.1875191457704258</v>
      </c>
      <c r="P29" s="4">
        <v>4285000000</v>
      </c>
      <c r="Q29" s="4">
        <v>8247000000</v>
      </c>
      <c r="R29" s="4">
        <v>3033000000</v>
      </c>
      <c r="S29" s="4">
        <f t="shared" si="28"/>
        <v>-15980000000</v>
      </c>
      <c r="T29" s="4">
        <f t="shared" si="29"/>
        <v>15565000000</v>
      </c>
      <c r="U29" s="4">
        <v>1427000000</v>
      </c>
    </row>
  </sheetData>
  <mergeCells count="5">
    <mergeCell ref="A12:F12"/>
    <mergeCell ref="H12:L12"/>
    <mergeCell ref="M12:P12"/>
    <mergeCell ref="Q12:T12"/>
    <mergeCell ref="U12:AB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ZHENG HONG</dc:creator>
  <cp:lastModifiedBy>TAN ZHENG HONG</cp:lastModifiedBy>
  <dcterms:created xsi:type="dcterms:W3CDTF">2026-01-27T09:42:04Z</dcterms:created>
  <dcterms:modified xsi:type="dcterms:W3CDTF">2026-02-01T16:30:56Z</dcterms:modified>
</cp:coreProperties>
</file>